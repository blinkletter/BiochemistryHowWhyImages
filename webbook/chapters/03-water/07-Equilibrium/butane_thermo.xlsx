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link/github/BiochemistryHowWhyImages/webbook/chapters/03-water/07-Equilibrium/"/>
    </mc:Choice>
  </mc:AlternateContent>
  <xr:revisionPtr revIDLastSave="0" documentId="8_{44484F9A-9C9A-BE46-914F-359EFDEA4859}" xr6:coauthVersionLast="47" xr6:coauthVersionMax="47" xr10:uidLastSave="{00000000-0000-0000-0000-000000000000}"/>
  <bookViews>
    <workbookView xWindow="5180" yWindow="600" windowWidth="28040" windowHeight="17160" xr2:uid="{AA8A4CA2-6FFA-4B42-8880-AC168275529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5" i="1" l="1"/>
  <c r="B31" i="1"/>
  <c r="D31" i="1" s="1"/>
  <c r="C31" i="1"/>
  <c r="E31" i="1" s="1"/>
  <c r="B30" i="1"/>
  <c r="D30" i="1" s="1"/>
  <c r="C30" i="1"/>
  <c r="E30" i="1" s="1"/>
  <c r="B3" i="1"/>
  <c r="C14" i="1"/>
  <c r="C15" i="1"/>
  <c r="F15" i="1" s="1"/>
  <c r="C16" i="1"/>
  <c r="C17" i="1"/>
  <c r="C18" i="1"/>
  <c r="C19" i="1"/>
  <c r="C20" i="1"/>
  <c r="C21" i="1"/>
  <c r="C22" i="1"/>
  <c r="E22" i="1" s="1"/>
  <c r="C23" i="1"/>
  <c r="C24" i="1"/>
  <c r="F24" i="1" s="1"/>
  <c r="C25" i="1"/>
  <c r="C26" i="1"/>
  <c r="C27" i="1"/>
  <c r="C28" i="1"/>
  <c r="C29" i="1"/>
  <c r="C13" i="1"/>
  <c r="B20" i="1"/>
  <c r="D20" i="1" s="1"/>
  <c r="I20" i="1" s="1"/>
  <c r="B21" i="1"/>
  <c r="D21" i="1" s="1"/>
  <c r="H21" i="1" s="1"/>
  <c r="B22" i="1"/>
  <c r="D22" i="1" s="1"/>
  <c r="H22" i="1" s="1"/>
  <c r="B23" i="1"/>
  <c r="D23" i="1" s="1"/>
  <c r="B24" i="1"/>
  <c r="D24" i="1" s="1"/>
  <c r="E24" i="1"/>
  <c r="B25" i="1"/>
  <c r="D25" i="1" s="1"/>
  <c r="B26" i="1"/>
  <c r="D26" i="1" s="1"/>
  <c r="I26" i="1" s="1"/>
  <c r="B27" i="1"/>
  <c r="D27" i="1" s="1"/>
  <c r="B28" i="1"/>
  <c r="D28" i="1" s="1"/>
  <c r="B29" i="1"/>
  <c r="D29" i="1" s="1"/>
  <c r="I29" i="1" s="1"/>
  <c r="B19" i="1"/>
  <c r="D19" i="1" s="1"/>
  <c r="H19" i="1" s="1"/>
  <c r="B18" i="1"/>
  <c r="D18" i="1" s="1"/>
  <c r="I18" i="1" s="1"/>
  <c r="B17" i="1"/>
  <c r="D17" i="1" s="1"/>
  <c r="H17" i="1" s="1"/>
  <c r="B16" i="1"/>
  <c r="D16" i="1" s="1"/>
  <c r="H16" i="1" s="1"/>
  <c r="B14" i="1"/>
  <c r="D14" i="1" s="1"/>
  <c r="B15" i="1"/>
  <c r="D15" i="1" s="1"/>
  <c r="B13" i="1"/>
  <c r="D13" i="1" s="1"/>
  <c r="H31" i="1" l="1"/>
  <c r="I31" i="1"/>
  <c r="F31" i="1"/>
  <c r="H30" i="1"/>
  <c r="I30" i="1"/>
  <c r="F30" i="1"/>
  <c r="F29" i="1"/>
  <c r="F23" i="1"/>
  <c r="F20" i="1"/>
  <c r="E23" i="1"/>
  <c r="E20" i="1"/>
  <c r="F22" i="1"/>
  <c r="I22" i="1"/>
  <c r="I23" i="1"/>
  <c r="H23" i="1"/>
  <c r="I25" i="1"/>
  <c r="H25" i="1"/>
  <c r="F25" i="1"/>
  <c r="E25" i="1"/>
  <c r="E26" i="1"/>
  <c r="H26" i="1"/>
  <c r="F26" i="1"/>
  <c r="I27" i="1"/>
  <c r="H27" i="1"/>
  <c r="F27" i="1"/>
  <c r="E27" i="1"/>
  <c r="I28" i="1"/>
  <c r="H28" i="1"/>
  <c r="F28" i="1"/>
  <c r="E28" i="1"/>
  <c r="E29" i="1"/>
  <c r="H29" i="1"/>
  <c r="I24" i="1"/>
  <c r="H24" i="1"/>
  <c r="F21" i="1"/>
  <c r="I21" i="1"/>
  <c r="E21" i="1"/>
  <c r="H20" i="1"/>
  <c r="I13" i="1"/>
  <c r="H18" i="1"/>
  <c r="F16" i="1"/>
  <c r="E16" i="1"/>
  <c r="H15" i="1"/>
  <c r="I15" i="1"/>
  <c r="H14" i="1"/>
  <c r="I14" i="1"/>
  <c r="E15" i="1"/>
  <c r="I17" i="1"/>
  <c r="I16" i="1"/>
  <c r="H13" i="1"/>
  <c r="I19" i="1"/>
  <c r="E19" i="1" l="1"/>
  <c r="F19" i="1"/>
  <c r="F13" i="1"/>
  <c r="E13" i="1"/>
  <c r="E14" i="1"/>
  <c r="F14" i="1"/>
  <c r="E18" i="1"/>
  <c r="F18" i="1"/>
  <c r="E17" i="1"/>
  <c r="F17" i="1"/>
</calcChain>
</file>

<file path=xl/sharedStrings.xml><?xml version="1.0" encoding="utf-8"?>
<sst xmlns="http://schemas.openxmlformats.org/spreadsheetml/2006/main" count="11" uniqueCount="11">
  <si>
    <t>kJ/mole</t>
  </si>
  <si>
    <t>Free energy</t>
  </si>
  <si>
    <t xml:space="preserve">Entropy </t>
  </si>
  <si>
    <t>J/mol.K</t>
  </si>
  <si>
    <t>Enthalpy</t>
  </si>
  <si>
    <t>Keq</t>
  </si>
  <si>
    <t>Temp</t>
  </si>
  <si>
    <t>dG</t>
  </si>
  <si>
    <t>Percent if dG unchanged</t>
  </si>
  <si>
    <t>Keq(w S)</t>
  </si>
  <si>
    <t>Percent (w 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</si>
</sst>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11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Sheet1!$A$13:$A$29</c:f>
              <c:numCache>
                <c:formatCode>General</c:formatCode>
                <c:ptCount val="17"/>
                <c:pt idx="0">
                  <c:v>1</c:v>
                </c:pt>
                <c:pt idx="1">
                  <c:v>5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 formatCode="0.00E+00">
                  <c:v>50</c:v>
                </c:pt>
                <c:pt idx="6" formatCode="0.00E+00">
                  <c:v>75</c:v>
                </c:pt>
                <c:pt idx="7" formatCode="0.00E+00">
                  <c:v>100</c:v>
                </c:pt>
                <c:pt idx="8" formatCode="0.00E+00">
                  <c:v>200</c:v>
                </c:pt>
                <c:pt idx="9" formatCode="0.00E+00">
                  <c:v>298</c:v>
                </c:pt>
                <c:pt idx="10" formatCode="0.00E+00">
                  <c:v>400</c:v>
                </c:pt>
                <c:pt idx="11" formatCode="0.00E+00">
                  <c:v>500</c:v>
                </c:pt>
                <c:pt idx="12" formatCode="0.00E+00">
                  <c:v>600</c:v>
                </c:pt>
                <c:pt idx="13" formatCode="0.00E+00">
                  <c:v>800</c:v>
                </c:pt>
                <c:pt idx="14" formatCode="0.00E+00">
                  <c:v>900</c:v>
                </c:pt>
                <c:pt idx="15" formatCode="0.00E+00">
                  <c:v>1000</c:v>
                </c:pt>
                <c:pt idx="16" formatCode="0.00E+00">
                  <c:v>1273</c:v>
                </c:pt>
              </c:numCache>
            </c:numRef>
          </c:xVal>
          <c:yVal>
            <c:numRef>
              <c:f>Sheet1!$D$13:$D$29</c:f>
              <c:numCache>
                <c:formatCode>General</c:formatCode>
                <c:ptCount val="17"/>
                <c:pt idx="0">
                  <c:v>3.7979900595843603E-199</c:v>
                </c:pt>
                <c:pt idx="1">
                  <c:v>2.3910826965861818E-40</c:v>
                </c:pt>
                <c:pt idx="2">
                  <c:v>1.4236877281836159E-10</c:v>
                </c:pt>
                <c:pt idx="3">
                  <c:v>2.8955301470408827E-7</c:v>
                </c:pt>
                <c:pt idx="4">
                  <c:v>1.3058243589337992E-5</c:v>
                </c:pt>
                <c:pt idx="5">
                  <c:v>1.2834494568887312E-4</c:v>
                </c:pt>
                <c:pt idx="6">
                  <c:v>2.7021167544253009E-3</c:v>
                </c:pt>
                <c:pt idx="7">
                  <c:v>1.2398432449402842E-2</c:v>
                </c:pt>
                <c:pt idx="8">
                  <c:v>0.1218598909155779</c:v>
                </c:pt>
                <c:pt idx="9">
                  <c:v>0.25837555999253869</c:v>
                </c:pt>
                <c:pt idx="10">
                  <c:v>0.38203907725839065</c:v>
                </c:pt>
                <c:pt idx="11">
                  <c:v>0.4801281703898268</c:v>
                </c:pt>
                <c:pt idx="12">
                  <c:v>0.55914372439089188</c:v>
                </c:pt>
                <c:pt idx="13">
                  <c:v>0.67644312724571853</c:v>
                </c:pt>
                <c:pt idx="14">
                  <c:v>0.72077641365859701</c:v>
                </c:pt>
                <c:pt idx="15">
                  <c:v>0.75832607404655739</c:v>
                </c:pt>
                <c:pt idx="16">
                  <c:v>0.83642086844474739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556-1D49-A270-AD2F0E5C6578}"/>
            </c:ext>
          </c:extLst>
        </c:ser>
        <c:ser>
          <c:idx val="1"/>
          <c:order val="1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Sheet1!$A$13:$A$29</c:f>
              <c:numCache>
                <c:formatCode>General</c:formatCode>
                <c:ptCount val="17"/>
                <c:pt idx="0">
                  <c:v>1</c:v>
                </c:pt>
                <c:pt idx="1">
                  <c:v>5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 formatCode="0.00E+00">
                  <c:v>50</c:v>
                </c:pt>
                <c:pt idx="6" formatCode="0.00E+00">
                  <c:v>75</c:v>
                </c:pt>
                <c:pt idx="7" formatCode="0.00E+00">
                  <c:v>100</c:v>
                </c:pt>
                <c:pt idx="8" formatCode="0.00E+00">
                  <c:v>200</c:v>
                </c:pt>
                <c:pt idx="9" formatCode="0.00E+00">
                  <c:v>298</c:v>
                </c:pt>
                <c:pt idx="10" formatCode="0.00E+00">
                  <c:v>400</c:v>
                </c:pt>
                <c:pt idx="11" formatCode="0.00E+00">
                  <c:v>500</c:v>
                </c:pt>
                <c:pt idx="12" formatCode="0.00E+00">
                  <c:v>600</c:v>
                </c:pt>
                <c:pt idx="13" formatCode="0.00E+00">
                  <c:v>800</c:v>
                </c:pt>
                <c:pt idx="14" formatCode="0.00E+00">
                  <c:v>900</c:v>
                </c:pt>
                <c:pt idx="15" formatCode="0.00E+00">
                  <c:v>1000</c:v>
                </c:pt>
                <c:pt idx="16" formatCode="0.00E+00">
                  <c:v>1273</c:v>
                </c:pt>
              </c:numCache>
            </c:numRef>
          </c:xVal>
          <c:yVal>
            <c:numRef>
              <c:f>Sheet1!$C$13:$C$29</c:f>
              <c:numCache>
                <c:formatCode>General</c:formatCode>
                <c:ptCount val="17"/>
                <c:pt idx="0">
                  <c:v>3.171020384741196E-199</c:v>
                </c:pt>
                <c:pt idx="1">
                  <c:v>1.9963643541781207E-40</c:v>
                </c:pt>
                <c:pt idx="2">
                  <c:v>1.1886663042162616E-10</c:v>
                </c:pt>
                <c:pt idx="3">
                  <c:v>2.4175379547739995E-7</c:v>
                </c:pt>
                <c:pt idx="4">
                  <c:v>1.0902597416286917E-5</c:v>
                </c:pt>
                <c:pt idx="5">
                  <c:v>1.0715784735425755E-4</c:v>
                </c:pt>
                <c:pt idx="6">
                  <c:v>2.2560531164663644E-3</c:v>
                </c:pt>
                <c:pt idx="7">
                  <c:v>1.0351707460813292E-2</c:v>
                </c:pt>
                <c:pt idx="8">
                  <c:v>0.10174334111288705</c:v>
                </c:pt>
                <c:pt idx="9">
                  <c:v>0.21572309426869477</c:v>
                </c:pt>
                <c:pt idx="10">
                  <c:v>0.31897232029266592</c:v>
                </c:pt>
                <c:pt idx="11">
                  <c:v>0.40086893112123911</c:v>
                </c:pt>
                <c:pt idx="12">
                  <c:v>0.46684064998256314</c:v>
                </c:pt>
                <c:pt idx="13">
                  <c:v>0.56477634537280852</c:v>
                </c:pt>
                <c:pt idx="14">
                  <c:v>0.60179112232912213</c:v>
                </c:pt>
                <c:pt idx="15">
                  <c:v>0.63314210973622587</c:v>
                </c:pt>
                <c:pt idx="16">
                  <c:v>0.69834506737796864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556-1D49-A270-AD2F0E5C65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4383872"/>
        <c:axId val="384377600"/>
      </c:scatterChart>
      <c:valAx>
        <c:axId val="3843838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4377600"/>
        <c:crosses val="autoZero"/>
        <c:crossBetween val="midCat"/>
      </c:valAx>
      <c:valAx>
        <c:axId val="384377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43838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438150</xdr:colOff>
      <xdr:row>11</xdr:row>
      <xdr:rowOff>177800</xdr:rowOff>
    </xdr:from>
    <xdr:to>
      <xdr:col>16</xdr:col>
      <xdr:colOff>57150</xdr:colOff>
      <xdr:row>25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D85F0DD-22B4-5871-9648-AC2BE765C5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9DA47-2674-1548-8419-D844060B783D}">
  <dimension ref="A2:I31"/>
  <sheetViews>
    <sheetView tabSelected="1" workbookViewId="0">
      <selection activeCell="I6" sqref="I6"/>
    </sheetView>
  </sheetViews>
  <sheetFormatPr baseColWidth="10" defaultRowHeight="16" x14ac:dyDescent="0.2"/>
  <cols>
    <col min="4" max="4" width="11.1640625" bestFit="1" customWidth="1"/>
  </cols>
  <sheetData>
    <row r="2" spans="1:9" x14ac:dyDescent="0.2">
      <c r="A2" t="s">
        <v>1</v>
      </c>
    </row>
    <row r="3" spans="1:9" x14ac:dyDescent="0.2">
      <c r="B3">
        <f>B7-(B5/1000*8.314*298)</f>
        <v>8.3641999999999328E-2</v>
      </c>
      <c r="C3" t="s">
        <v>0</v>
      </c>
    </row>
    <row r="4" spans="1:9" x14ac:dyDescent="0.2">
      <c r="A4" t="s">
        <v>2</v>
      </c>
    </row>
    <row r="5" spans="1:9" x14ac:dyDescent="0.2">
      <c r="B5">
        <v>1.5</v>
      </c>
      <c r="C5" t="s">
        <v>3</v>
      </c>
      <c r="D5">
        <f>8.314*LN(2)</f>
        <v>5.7628256591753848</v>
      </c>
    </row>
    <row r="6" spans="1:9" x14ac:dyDescent="0.2">
      <c r="A6" t="s">
        <v>4</v>
      </c>
    </row>
    <row r="7" spans="1:9" x14ac:dyDescent="0.2">
      <c r="B7">
        <v>3.8</v>
      </c>
    </row>
    <row r="12" spans="1:9" x14ac:dyDescent="0.2">
      <c r="A12" t="s">
        <v>6</v>
      </c>
      <c r="B12" t="s">
        <v>7</v>
      </c>
      <c r="C12" t="s">
        <v>5</v>
      </c>
      <c r="D12" t="s">
        <v>9</v>
      </c>
      <c r="E12" t="s">
        <v>8</v>
      </c>
      <c r="H12" t="s">
        <v>10</v>
      </c>
    </row>
    <row r="13" spans="1:9" x14ac:dyDescent="0.2">
      <c r="A13">
        <v>1</v>
      </c>
      <c r="B13">
        <f>$B$7-($B$5/1000*A13)</f>
        <v>3.7984999999999998</v>
      </c>
      <c r="C13">
        <f>EXP(-$B$7*1000/8.314/A13)</f>
        <v>3.171020384741196E-199</v>
      </c>
      <c r="D13">
        <f>EXP(-$B13*1000/8.314/A13)</f>
        <v>3.7979900595843603E-199</v>
      </c>
      <c r="E13">
        <f>2*C13/(2*C13+1)*100</f>
        <v>6.3420407694823915E-197</v>
      </c>
      <c r="F13">
        <f>1/(2*C13+1)*100</f>
        <v>100</v>
      </c>
      <c r="H13">
        <f>2*D13/(2*D13+1)*100</f>
        <v>7.5959801191687209E-197</v>
      </c>
      <c r="I13">
        <f>1/(2*D13+1)*100</f>
        <v>100</v>
      </c>
    </row>
    <row r="14" spans="1:9" x14ac:dyDescent="0.2">
      <c r="A14">
        <v>5</v>
      </c>
      <c r="B14">
        <f>$B$7-($B$5/1000*A14)</f>
        <v>3.7925</v>
      </c>
      <c r="C14">
        <f>EXP(-$B$7*1000/8.314/A14)</f>
        <v>1.9963643541781207E-40</v>
      </c>
      <c r="D14">
        <f>EXP(-$B14*1000/8.314/A14)</f>
        <v>2.3910826965861818E-40</v>
      </c>
      <c r="E14">
        <f>2*C14/(2*C14+1)*100</f>
        <v>3.9927287083562414E-38</v>
      </c>
      <c r="F14">
        <f>1/(2*C14+1)*100</f>
        <v>100</v>
      </c>
      <c r="H14">
        <f>2*D14/(2*D14+1)*100</f>
        <v>4.7821653931723637E-38</v>
      </c>
      <c r="I14">
        <f>1/(2*D14+1)*100</f>
        <v>100</v>
      </c>
    </row>
    <row r="15" spans="1:9" x14ac:dyDescent="0.2">
      <c r="A15">
        <v>20</v>
      </c>
      <c r="B15">
        <f>$B$7-($B$5/1000*A15)</f>
        <v>3.77</v>
      </c>
      <c r="C15">
        <f>EXP(-$B$7*1000/8.314/A15)</f>
        <v>1.1886663042162616E-10</v>
      </c>
      <c r="D15">
        <f>EXP(-$B15*1000/8.314/A15)</f>
        <v>1.4236877281836159E-10</v>
      </c>
      <c r="E15">
        <f>2*C15/(2*C15+1)*100</f>
        <v>2.3773326078673527E-8</v>
      </c>
      <c r="F15">
        <f>1/(2*C15+1)*100</f>
        <v>99.99999997622669</v>
      </c>
      <c r="H15">
        <f>2*D15/(2*D15+1)*100</f>
        <v>2.8473754555564769E-8</v>
      </c>
      <c r="I15">
        <f>1/(2*D15+1)*100</f>
        <v>99.99999997152625</v>
      </c>
    </row>
    <row r="16" spans="1:9" x14ac:dyDescent="0.2">
      <c r="A16">
        <v>30</v>
      </c>
      <c r="B16">
        <f>$B$7-($B$5/1000*A16)</f>
        <v>3.7549999999999999</v>
      </c>
      <c r="C16">
        <f>EXP(-$B$7*1000/8.314/A16)</f>
        <v>2.4175379547739995E-7</v>
      </c>
      <c r="D16">
        <f>EXP(-$B16*1000/8.314/A16)</f>
        <v>2.8955301470408827E-7</v>
      </c>
      <c r="E16">
        <f>2*C16/(2*C16+1)*100</f>
        <v>4.8350735717532249E-5</v>
      </c>
      <c r="F16">
        <f>1/(2*C16+1)*100</f>
        <v>99.99995164926429</v>
      </c>
      <c r="H16">
        <f>2*D16/(2*D16+1)*100</f>
        <v>5.7910569404457754E-5</v>
      </c>
      <c r="I16">
        <f>1/(2*D16+1)*100</f>
        <v>99.999942089430604</v>
      </c>
    </row>
    <row r="17" spans="1:9" x14ac:dyDescent="0.2">
      <c r="A17">
        <v>40</v>
      </c>
      <c r="B17">
        <f>$B$7-($B$5/1000*A17)</f>
        <v>3.7399999999999998</v>
      </c>
      <c r="C17">
        <f>EXP(-$B$7*1000/8.314/A17)</f>
        <v>1.0902597416286917E-5</v>
      </c>
      <c r="D17">
        <f>EXP(-$B17*1000/8.314/A17)</f>
        <v>1.3058243589337992E-5</v>
      </c>
      <c r="E17">
        <f>2*C17/(2*C17+1)*100</f>
        <v>2.1804719376419556E-3</v>
      </c>
      <c r="F17">
        <f>1/(2*C17+1)*100</f>
        <v>99.997819528062351</v>
      </c>
      <c r="H17">
        <f>2*D17/(2*D17+1)*100</f>
        <v>2.6115805125586258E-3</v>
      </c>
      <c r="I17">
        <f>1/(2*D17+1)*100</f>
        <v>99.997388419487436</v>
      </c>
    </row>
    <row r="18" spans="1:9" x14ac:dyDescent="0.2">
      <c r="A18" s="1">
        <v>50</v>
      </c>
      <c r="B18">
        <f>$B$7-($B$5/1000*A18)</f>
        <v>3.7249999999999996</v>
      </c>
      <c r="C18">
        <f>EXP(-$B$7*1000/8.314/A18)</f>
        <v>1.0715784735425755E-4</v>
      </c>
      <c r="D18">
        <f>EXP(-$B18*1000/8.314/A18)</f>
        <v>1.2834494568887312E-4</v>
      </c>
      <c r="E18">
        <f>2*C18/(2*C18+1)*100</f>
        <v>2.1426977333318817E-2</v>
      </c>
      <c r="F18">
        <f>1/(2*C18+1)*100</f>
        <v>99.97857302266668</v>
      </c>
      <c r="H18">
        <f>2*D18/(2*D18+1)*100</f>
        <v>2.5662401858629037E-2</v>
      </c>
      <c r="I18">
        <f>1/(2*D18+1)*100</f>
        <v>99.974337598141361</v>
      </c>
    </row>
    <row r="19" spans="1:9" x14ac:dyDescent="0.2">
      <c r="A19" s="1">
        <v>75</v>
      </c>
      <c r="B19">
        <f>$B$7-($B$5/1000*A19)</f>
        <v>3.6875</v>
      </c>
      <c r="C19">
        <f>EXP(-$B$7*1000/8.314/A19)</f>
        <v>2.2560531164663644E-3</v>
      </c>
      <c r="D19">
        <f>EXP(-$B19*1000/8.314/A19)</f>
        <v>2.7021167544253009E-3</v>
      </c>
      <c r="E19">
        <f>2*C19/(2*C19+1)*100</f>
        <v>0.44918385800782301</v>
      </c>
      <c r="F19">
        <f>1/(2*C19+1)*100</f>
        <v>99.550816141992172</v>
      </c>
      <c r="H19">
        <f>2*D19/(2*D19+1)*100</f>
        <v>0.53751847552798548</v>
      </c>
      <c r="I19">
        <f>1/(2*D19+1)*100</f>
        <v>99.462481524472011</v>
      </c>
    </row>
    <row r="20" spans="1:9" x14ac:dyDescent="0.2">
      <c r="A20" s="1">
        <v>100</v>
      </c>
      <c r="B20">
        <f>$B$7-($B$5/1000*A20)</f>
        <v>3.65</v>
      </c>
      <c r="C20">
        <f>EXP(-$B$7*1000/8.314/A20)</f>
        <v>1.0351707460813292E-2</v>
      </c>
      <c r="D20">
        <f>EXP(-$B20*1000/8.314/A20)</f>
        <v>1.2398432449402842E-2</v>
      </c>
      <c r="E20">
        <f t="shared" ref="E20:E31" si="0">2*C20/(2*C20+1)*100</f>
        <v>2.0283477667424354</v>
      </c>
      <c r="F20">
        <f t="shared" ref="F20:F31" si="1">1/(2*C20+1)*100</f>
        <v>97.971652233257572</v>
      </c>
      <c r="H20">
        <f t="shared" ref="H20:H31" si="2">2*D20/(2*D20+1)*100</f>
        <v>2.4196858663550134</v>
      </c>
      <c r="I20">
        <f t="shared" ref="I20:I31" si="3">1/(2*D20+1)*100</f>
        <v>97.58031413364499</v>
      </c>
    </row>
    <row r="21" spans="1:9" x14ac:dyDescent="0.2">
      <c r="A21" s="1">
        <v>200</v>
      </c>
      <c r="B21">
        <f>$B$7-($B$5/1000*A21)</f>
        <v>3.5</v>
      </c>
      <c r="C21">
        <f>EXP(-$B$7*1000/8.314/A21)</f>
        <v>0.10174334111288705</v>
      </c>
      <c r="D21">
        <f>EXP(-$B21*1000/8.314/A21)</f>
        <v>0.1218598909155779</v>
      </c>
      <c r="E21">
        <f t="shared" si="0"/>
        <v>16.908095887645228</v>
      </c>
      <c r="F21">
        <f t="shared" si="1"/>
        <v>83.091904112354769</v>
      </c>
      <c r="H21">
        <f t="shared" si="2"/>
        <v>19.596036453832216</v>
      </c>
      <c r="I21">
        <f t="shared" si="3"/>
        <v>80.403963546167773</v>
      </c>
    </row>
    <row r="22" spans="1:9" s="3" customFormat="1" x14ac:dyDescent="0.2">
      <c r="A22" s="2">
        <v>298</v>
      </c>
      <c r="B22" s="3">
        <f>$B$7-($B$5/1000*A22)</f>
        <v>3.3529999999999998</v>
      </c>
      <c r="C22">
        <f>EXP(-$B$7*1000/8.314/A22)</f>
        <v>0.21572309426869477</v>
      </c>
      <c r="D22" s="3">
        <f>EXP(-$B22*1000/8.314/A22)</f>
        <v>0.25837555999253869</v>
      </c>
      <c r="E22" s="3">
        <f t="shared" si="0"/>
        <v>30.140580344010615</v>
      </c>
      <c r="F22" s="3">
        <f t="shared" si="1"/>
        <v>69.859419655989385</v>
      </c>
      <c r="H22" s="3">
        <f t="shared" si="2"/>
        <v>34.069605301505327</v>
      </c>
      <c r="I22" s="3">
        <f t="shared" si="3"/>
        <v>65.930394698494666</v>
      </c>
    </row>
    <row r="23" spans="1:9" x14ac:dyDescent="0.2">
      <c r="A23" s="1">
        <v>400</v>
      </c>
      <c r="B23">
        <f>$B$7-($B$5/1000*A23)</f>
        <v>3.1999999999999997</v>
      </c>
      <c r="C23">
        <f>EXP(-$B$7*1000/8.314/A23)</f>
        <v>0.31897232029266592</v>
      </c>
      <c r="D23">
        <f>EXP(-$B23*1000/8.314/A23)</f>
        <v>0.38203907725839065</v>
      </c>
      <c r="E23">
        <f t="shared" si="0"/>
        <v>38.947875573948423</v>
      </c>
      <c r="F23">
        <f t="shared" si="1"/>
        <v>61.05212442605157</v>
      </c>
      <c r="H23">
        <f t="shared" si="2"/>
        <v>43.313169122378184</v>
      </c>
      <c r="I23">
        <f t="shared" si="3"/>
        <v>56.68683087762183</v>
      </c>
    </row>
    <row r="24" spans="1:9" x14ac:dyDescent="0.2">
      <c r="A24" s="1">
        <v>500</v>
      </c>
      <c r="B24">
        <f>$B$7-($B$5/1000*A24)</f>
        <v>3.05</v>
      </c>
      <c r="C24">
        <f>EXP(-$B$7*1000/8.314/A24)</f>
        <v>0.40086893112123911</v>
      </c>
      <c r="D24">
        <f>EXP(-$B24*1000/8.314/A24)</f>
        <v>0.4801281703898268</v>
      </c>
      <c r="E24">
        <f t="shared" si="0"/>
        <v>44.498030431830941</v>
      </c>
      <c r="F24">
        <f t="shared" si="1"/>
        <v>55.501969568169059</v>
      </c>
      <c r="H24">
        <f t="shared" si="2"/>
        <v>48.986263724964175</v>
      </c>
      <c r="I24">
        <f t="shared" si="3"/>
        <v>51.013736275035825</v>
      </c>
    </row>
    <row r="25" spans="1:9" x14ac:dyDescent="0.2">
      <c r="A25" s="1">
        <v>600</v>
      </c>
      <c r="B25">
        <f>$B$7-($B$5/1000*A25)</f>
        <v>2.9</v>
      </c>
      <c r="C25">
        <f>EXP(-$B$7*1000/8.314/A25)</f>
        <v>0.46684064998256314</v>
      </c>
      <c r="D25">
        <f>EXP(-$B25*1000/8.314/A25)</f>
        <v>0.55914372439089188</v>
      </c>
      <c r="E25">
        <f t="shared" si="0"/>
        <v>48.285169845825429</v>
      </c>
      <c r="F25">
        <f t="shared" si="1"/>
        <v>51.714830154174571</v>
      </c>
      <c r="H25">
        <f t="shared" si="2"/>
        <v>52.792053761396026</v>
      </c>
      <c r="I25">
        <f t="shared" si="3"/>
        <v>47.207946238603967</v>
      </c>
    </row>
    <row r="26" spans="1:9" x14ac:dyDescent="0.2">
      <c r="A26" s="1">
        <v>800</v>
      </c>
      <c r="B26">
        <f>$B$7-($B$5/1000*A26)</f>
        <v>2.5999999999999996</v>
      </c>
      <c r="C26">
        <f>EXP(-$B$7*1000/8.314/A26)</f>
        <v>0.56477634537280852</v>
      </c>
      <c r="D26">
        <f>EXP(-$B26*1000/8.314/A26)</f>
        <v>0.67644312724571853</v>
      </c>
      <c r="E26">
        <f t="shared" si="0"/>
        <v>53.041781762635253</v>
      </c>
      <c r="F26">
        <f t="shared" si="1"/>
        <v>46.958218237364747</v>
      </c>
      <c r="H26">
        <f t="shared" si="2"/>
        <v>57.499007948595271</v>
      </c>
      <c r="I26">
        <f t="shared" si="3"/>
        <v>42.500992051404722</v>
      </c>
    </row>
    <row r="27" spans="1:9" x14ac:dyDescent="0.2">
      <c r="A27" s="1">
        <v>900</v>
      </c>
      <c r="B27">
        <f>$B$7-($B$5/1000*A27)</f>
        <v>2.4499999999999997</v>
      </c>
      <c r="C27">
        <f>EXP(-$B$7*1000/8.314/A27)</f>
        <v>0.60179112232912213</v>
      </c>
      <c r="D27">
        <f>EXP(-$B27*1000/8.314/A27)</f>
        <v>0.72077641365859701</v>
      </c>
      <c r="E27">
        <f t="shared" si="0"/>
        <v>54.61934754538327</v>
      </c>
      <c r="F27">
        <f t="shared" si="1"/>
        <v>45.38065245461673</v>
      </c>
      <c r="H27">
        <f t="shared" si="2"/>
        <v>59.042459011676954</v>
      </c>
      <c r="I27">
        <f t="shared" si="3"/>
        <v>40.957540988323046</v>
      </c>
    </row>
    <row r="28" spans="1:9" x14ac:dyDescent="0.2">
      <c r="A28" s="1">
        <v>1000</v>
      </c>
      <c r="B28">
        <f>$B$7-($B$5/1000*A28)</f>
        <v>2.2999999999999998</v>
      </c>
      <c r="C28">
        <f>EXP(-$B$7*1000/8.314/A28)</f>
        <v>0.63314210973622587</v>
      </c>
      <c r="D28">
        <f>EXP(-$B28*1000/8.314/A28)</f>
        <v>0.75832607404655739</v>
      </c>
      <c r="E28">
        <f t="shared" si="0"/>
        <v>55.874907859845536</v>
      </c>
      <c r="F28">
        <f t="shared" si="1"/>
        <v>44.125092140154479</v>
      </c>
      <c r="H28">
        <f t="shared" si="2"/>
        <v>60.264671430348173</v>
      </c>
      <c r="I28">
        <f t="shared" si="3"/>
        <v>39.735328569651834</v>
      </c>
    </row>
    <row r="29" spans="1:9" x14ac:dyDescent="0.2">
      <c r="A29" s="1">
        <v>1273</v>
      </c>
      <c r="B29">
        <f>$B$7-($B$5/1000*A29)</f>
        <v>1.8904999999999998</v>
      </c>
      <c r="C29">
        <f>EXP(-$B$7*1000/8.314/A29)</f>
        <v>0.69834506737796864</v>
      </c>
      <c r="D29">
        <f>EXP(-$B29*1000/8.314/A29)</f>
        <v>0.83642086844474739</v>
      </c>
      <c r="E29">
        <f t="shared" si="0"/>
        <v>58.275791037883437</v>
      </c>
      <c r="F29">
        <f t="shared" si="1"/>
        <v>41.724208962116542</v>
      </c>
      <c r="H29">
        <f t="shared" si="2"/>
        <v>62.586636305532082</v>
      </c>
      <c r="I29">
        <f t="shared" si="3"/>
        <v>37.413363694467918</v>
      </c>
    </row>
    <row r="30" spans="1:9" x14ac:dyDescent="0.2">
      <c r="A30" s="1">
        <v>1000000</v>
      </c>
      <c r="B30">
        <f>$B$7-($B$5/1000*A30)</f>
        <v>-1496.2</v>
      </c>
      <c r="C30">
        <f>EXP(-$B$7*1000/8.314/A30)</f>
        <v>0.99954304405610195</v>
      </c>
      <c r="D30">
        <f>EXP(-$B30*1000/8.314/A30)</f>
        <v>1.1971712839561275</v>
      </c>
      <c r="E30">
        <f t="shared" si="0"/>
        <v>66.656508995730192</v>
      </c>
      <c r="F30">
        <f t="shared" si="1"/>
        <v>33.343491004269808</v>
      </c>
      <c r="H30">
        <f t="shared" si="2"/>
        <v>70.539214001164709</v>
      </c>
      <c r="I30">
        <f t="shared" si="3"/>
        <v>29.460785998835291</v>
      </c>
    </row>
    <row r="31" spans="1:9" x14ac:dyDescent="0.2">
      <c r="A31" s="1">
        <v>1000000000000</v>
      </c>
      <c r="B31">
        <f>$B$7-($B$5/1000*A31)</f>
        <v>-1499999996.2</v>
      </c>
      <c r="C31">
        <f>EXP(-$B$7*1000/8.314/A31)</f>
        <v>0.99999999954293961</v>
      </c>
      <c r="D31">
        <f>EXP(-$B31*1000/8.314/A31)</f>
        <v>1.1977185880368686</v>
      </c>
      <c r="E31">
        <f t="shared" si="0"/>
        <v>66.666666656509761</v>
      </c>
      <c r="F31">
        <f t="shared" si="1"/>
        <v>33.333333343490231</v>
      </c>
      <c r="H31">
        <f t="shared" si="2"/>
        <v>70.548711457641076</v>
      </c>
      <c r="I31">
        <f t="shared" si="3"/>
        <v>29.451288542358927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Barry A Linkletter</dc:creator>
  <cp:lastModifiedBy>Barry A Linkletter</cp:lastModifiedBy>
  <dcterms:created xsi:type="dcterms:W3CDTF">2026-07-06T19:00:43Z</dcterms:created>
  <dcterms:modified xsi:type="dcterms:W3CDTF">2026-07-07T14:14:53Z</dcterms:modified>
</cp:coreProperties>
</file>